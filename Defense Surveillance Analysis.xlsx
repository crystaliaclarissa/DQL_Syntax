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ysis" sheetId="1" r:id="rId5"/>
    <sheet state="visible" name="Year" sheetId="2" r:id="rId6"/>
  </sheets>
  <definedNames/>
  <calcPr/>
</workbook>
</file>

<file path=xl/sharedStrings.xml><?xml version="1.0" encoding="utf-8"?>
<sst xmlns="http://schemas.openxmlformats.org/spreadsheetml/2006/main" count="100" uniqueCount="42">
  <si>
    <t>Recap</t>
  </si>
  <si>
    <t xml:space="preserve">  Total of 1 Credit Company</t>
  </si>
  <si>
    <t xml:space="preserve">  Highest Credit Usage</t>
  </si>
  <si>
    <t xml:space="preserve">  Highest MAU</t>
  </si>
  <si>
    <t xml:space="preserve">  Lowest DAU</t>
  </si>
  <si>
    <t>Capital</t>
  </si>
  <si>
    <t>Country</t>
  </si>
  <si>
    <t>Company</t>
  </si>
  <si>
    <t>User Count</t>
  </si>
  <si>
    <t>Usage</t>
  </si>
  <si>
    <t>Credit</t>
  </si>
  <si>
    <t>Monthly TS</t>
  </si>
  <si>
    <t>Daily TS</t>
  </si>
  <si>
    <t>Avg MAU</t>
  </si>
  <si>
    <t>BlackRock</t>
  </si>
  <si>
    <t>Europe</t>
  </si>
  <si>
    <t>Airbus</t>
  </si>
  <si>
    <t>Morgan Stanley</t>
  </si>
  <si>
    <t>US</t>
  </si>
  <si>
    <t>Anduril Industries</t>
  </si>
  <si>
    <t>Barclays</t>
  </si>
  <si>
    <t>Northrop Grumman</t>
  </si>
  <si>
    <t>Wells Fargo &amp; Co.</t>
  </si>
  <si>
    <t>Lockheed Martin</t>
  </si>
  <si>
    <t>Citi Group</t>
  </si>
  <si>
    <t>SAIC</t>
  </si>
  <si>
    <t>Textron</t>
  </si>
  <si>
    <t>Oshkosh Defense</t>
  </si>
  <si>
    <t>Sierra Nevada Corporation</t>
  </si>
  <si>
    <t>France</t>
  </si>
  <si>
    <t>Naval Group</t>
  </si>
  <si>
    <t>Brazil</t>
  </si>
  <si>
    <t>Embraer</t>
  </si>
  <si>
    <t>Boeing</t>
  </si>
  <si>
    <t>Raytheon</t>
  </si>
  <si>
    <t>Sweden</t>
  </si>
  <si>
    <t>Saab AB</t>
  </si>
  <si>
    <t>India</t>
  </si>
  <si>
    <t>Hindustan Aeronautics Limited</t>
  </si>
  <si>
    <t>Avg Monthly TS</t>
  </si>
  <si>
    <t>TS</t>
  </si>
  <si>
    <t>MAU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</si>
</sst>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color rgb="FF434343"/>
      <name val="Arial"/>
      <scheme val="minor"/>
    </font>
    <font>
      <b/>
      <color theme="1"/>
      <name val="Arial"/>
      <scheme val="minor"/>
    </font>
    <font>
      <color rgb="FF434343"/>
      <name val="Arial"/>
    </font>
    <font>
      <color rgb="FF434343"/>
      <name val="Roboto"/>
    </font>
    <font>
      <color rgb="FFFFFFFF"/>
      <name val="Arial"/>
    </font>
    <font>
      <color rgb="FFFFFFFF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0" xfId="0" applyAlignment="1" applyFill="1" applyFont="1">
      <alignment readingOrder="0"/>
    </xf>
    <xf borderId="0" fillId="2" fontId="3" numFmtId="0" xfId="0" applyAlignment="1" applyFont="1">
      <alignment readingOrder="0"/>
    </xf>
    <xf borderId="0" fillId="2" fontId="3" numFmtId="0" xfId="0" applyAlignment="1" applyFont="1">
      <alignment horizontal="left"/>
    </xf>
    <xf borderId="0" fillId="2" fontId="3" numFmtId="0" xfId="0" applyFont="1"/>
    <xf borderId="0" fillId="0" fontId="4" numFmtId="0" xfId="0" applyAlignment="1" applyFont="1">
      <alignment readingOrder="0"/>
    </xf>
    <xf borderId="0" fillId="2" fontId="5" numFmtId="0" xfId="0" applyAlignment="1" applyFont="1">
      <alignment vertical="bottom"/>
    </xf>
    <xf borderId="0" fillId="2" fontId="6" numFmtId="0" xfId="0" applyAlignment="1" applyFont="1">
      <alignment horizontal="right"/>
    </xf>
    <xf borderId="0" fillId="2" fontId="5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7" numFmtId="0" xfId="0" applyAlignment="1" applyFont="1">
      <alignment vertical="bottom"/>
    </xf>
    <xf borderId="0" fillId="0" fontId="8" numFmtId="0" xfId="0" applyFont="1"/>
    <xf borderId="0" fillId="0" fontId="7" numFmtId="0" xfId="0" applyAlignment="1" applyFont="1">
      <alignment readingOrder="0" vertical="bottom"/>
    </xf>
    <xf borderId="0" fillId="0" fontId="4" numFmtId="0" xfId="0" applyAlignment="1" applyFont="1">
      <alignment horizontal="center" readingOrder="0"/>
    </xf>
    <xf borderId="0" fillId="0" fontId="6" numFmtId="0" xfId="0" applyAlignment="1" applyFont="1">
      <alignment horizontal="right"/>
    </xf>
    <xf borderId="0" fillId="0" fontId="9" numFmtId="0" xfId="0" applyAlignment="1" applyFont="1">
      <alignment horizontal="right" readingOrder="0"/>
    </xf>
    <xf borderId="0" fillId="0" fontId="9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Daily Time Spent - Country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Analysis!$D$34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Analysis!$B$35:$B$49</c:f>
            </c:strRef>
          </c:cat>
          <c:val>
            <c:numRef>
              <c:f>Analysis!$D$35:$D$49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MAU - Company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Analysis!$C$51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Analysis!$B$52:$B$66</c:f>
            </c:strRef>
          </c:cat>
          <c:val>
            <c:numRef>
              <c:f>Analysis!$C$52:$C$66</c:f>
              <c:numCache/>
            </c:numRef>
          </c:val>
        </c:ser>
        <c:axId val="99018661"/>
        <c:axId val="1537936665"/>
      </c:barChart>
      <c:catAx>
        <c:axId val="990186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Company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7936665"/>
      </c:catAx>
      <c:valAx>
        <c:axId val="15379366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 MAU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0186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276225</xdr:colOff>
      <xdr:row>3</xdr:row>
      <xdr:rowOff>123825</xdr:rowOff>
    </xdr:from>
    <xdr:ext cx="5772150" cy="35909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828675</xdr:colOff>
      <xdr:row>3</xdr:row>
      <xdr:rowOff>123825</xdr:rowOff>
    </xdr:from>
    <xdr:ext cx="5953125" cy="35909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0"/>
    <col customWidth="1" min="2" max="2" width="17.25"/>
    <col customWidth="1" min="3" max="3" width="13.38"/>
    <col customWidth="1" min="4" max="4" width="26.38"/>
    <col customWidth="1" min="5" max="5" width="17.5"/>
    <col customWidth="1" min="6" max="6" width="15.13"/>
    <col customWidth="1" min="8" max="8" width="2.13"/>
    <col customWidth="1" min="13" max="13" width="15.13"/>
  </cols>
  <sheetData>
    <row r="4" ht="306.75" customHeight="1">
      <c r="B4" s="1"/>
      <c r="F4" s="1"/>
      <c r="G4" s="1"/>
    </row>
    <row r="7">
      <c r="B7" s="2" t="s">
        <v>0</v>
      </c>
    </row>
    <row r="8">
      <c r="B8" s="3" t="s">
        <v>1</v>
      </c>
      <c r="D8" s="4">
        <f>COUNTIF(G16:G30,1)</f>
        <v>9</v>
      </c>
    </row>
    <row r="9">
      <c r="B9" s="3" t="s">
        <v>2</v>
      </c>
      <c r="D9" s="5" t="str">
        <f t="array" ref="D9">INDEX(D16:D30,MATCH(MAX(I16:I30),I16:I30,0))</f>
        <v>Saab AB</v>
      </c>
    </row>
    <row r="10">
      <c r="B10" s="3" t="s">
        <v>3</v>
      </c>
      <c r="D10" s="5" t="str">
        <f t="array" ref="D10">INDEX(D16:D30,MATCH(MAX(K16:K30),K16:K30,0))</f>
        <v>Airbus</v>
      </c>
    </row>
    <row r="11">
      <c r="B11" s="3" t="s">
        <v>4</v>
      </c>
      <c r="D11" s="5" t="str">
        <f t="array" ref="D11">INDEX(D16:D30,MATCH(MIN(J16:J30),J16:J30,0))</f>
        <v>Airbus</v>
      </c>
    </row>
    <row r="15">
      <c r="B15" s="2" t="s">
        <v>5</v>
      </c>
      <c r="C15" s="2" t="s">
        <v>6</v>
      </c>
      <c r="D15" s="2" t="s">
        <v>7</v>
      </c>
      <c r="E15" s="2" t="s">
        <v>8</v>
      </c>
      <c r="F15" s="2" t="s">
        <v>9</v>
      </c>
      <c r="G15" s="2" t="s">
        <v>10</v>
      </c>
      <c r="H15" s="2"/>
      <c r="I15" s="2" t="s">
        <v>11</v>
      </c>
      <c r="J15" s="2" t="s">
        <v>12</v>
      </c>
      <c r="K15" s="2" t="s">
        <v>13</v>
      </c>
      <c r="M15" s="6"/>
      <c r="N15" s="6"/>
    </row>
    <row r="16">
      <c r="B16" s="7" t="s">
        <v>14</v>
      </c>
      <c r="C16" s="7" t="s">
        <v>15</v>
      </c>
      <c r="D16" s="7" t="s">
        <v>16</v>
      </c>
      <c r="E16" s="5" t="str">
        <f t="shared" ref="E16:E30" si="1">IF(AND(K16&gt;G16),"High User Count",IF(AND(K16&lt;=G16),"Enough User Count"))</f>
        <v>Enough User Count</v>
      </c>
      <c r="F16" s="5" t="str">
        <f t="shared" ref="F16:F30" si="2">IF(J16 &gt;= 7, "Very High Usage", IF(J16 &gt;= 5, "High Usage", IF(J16 &gt;= 3, "Medium Usage", IF(J16 &gt;= 1, "Low Usage", "Very Low Usage"))))</f>
        <v>Very Low Usage</v>
      </c>
      <c r="G16" s="8">
        <v>1.0</v>
      </c>
      <c r="H16" s="5"/>
      <c r="I16" s="5">
        <f>IFERROR(__xludf.DUMMYFUNCTION("IMPORTRANGE(""https://docs.google.com/spreadsheets/d/1n_jIrSIVmZnDQF_dD_E6XccNsAQllD6sUGziwh8lq54/edit?gid=1842457683#gid=1842457683"", ""Year!B4"")"),0.0)</f>
        <v>0</v>
      </c>
      <c r="J16" s="5">
        <f t="shared" ref="J16:J30" si="3">I16/20</f>
        <v>0</v>
      </c>
      <c r="K16" s="5">
        <f>IFERROR(__xludf.DUMMYFUNCTION("IMPORTRANGE(""https://docs.google.com/spreadsheets/d/1n_jIrSIVmZnDQF_dD_E6XccNsAQllD6sUGziwh8lq54/edit?gid=1842457683#gid=1842457683"", ""Year!C4"")"),0.0)</f>
        <v>0</v>
      </c>
    </row>
    <row r="17">
      <c r="B17" s="7" t="s">
        <v>17</v>
      </c>
      <c r="C17" s="9" t="s">
        <v>18</v>
      </c>
      <c r="D17" s="7" t="s">
        <v>19</v>
      </c>
      <c r="E17" s="5" t="str">
        <f t="shared" si="1"/>
        <v>Enough User Count</v>
      </c>
      <c r="F17" s="5" t="str">
        <f t="shared" si="2"/>
        <v>Very Low Usage</v>
      </c>
      <c r="G17" s="8">
        <v>1.0</v>
      </c>
      <c r="H17" s="5"/>
      <c r="I17" s="5">
        <f>IFERROR(__xludf.DUMMYFUNCTION("IMPORTRANGE(""https://docs.google.com/spreadsheets/d/1n_jIrSIVmZnDQF_dD_E6XccNsAQllD6sUGziwh8lq54/edit?gid=1842457683#gid=1842457683"", ""Year!B5"")"),0.0)</f>
        <v>0</v>
      </c>
      <c r="J17" s="5">
        <f t="shared" si="3"/>
        <v>0</v>
      </c>
      <c r="K17" s="5">
        <f>IFERROR(__xludf.DUMMYFUNCTION("IMPORTRANGE(""https://docs.google.com/spreadsheets/d/1n_jIrSIVmZnDQF_dD_E6XccNsAQllD6sUGziwh8lq54/edit?gid=1842457683#gid=1842457683"", ""Year!C5"")"),0.0)</f>
        <v>0</v>
      </c>
    </row>
    <row r="18">
      <c r="B18" s="7" t="s">
        <v>20</v>
      </c>
      <c r="C18" s="9" t="s">
        <v>18</v>
      </c>
      <c r="D18" s="7" t="s">
        <v>21</v>
      </c>
      <c r="E18" s="5" t="str">
        <f t="shared" si="1"/>
        <v>High User Count</v>
      </c>
      <c r="F18" s="5" t="str">
        <f t="shared" si="2"/>
        <v>Very Low Usage</v>
      </c>
      <c r="G18" s="8">
        <v>1.0</v>
      </c>
      <c r="H18" s="5"/>
      <c r="I18" s="5">
        <f>IFERROR(__xludf.DUMMYFUNCTION("IMPORTRANGE(""https://docs.google.com/spreadsheets/d/1n_jIrSIVmZnDQF_dD_E6XccNsAQllD6sUGziwh8lq54/edit?gid=1842457683#gid=1842457683"", ""Year!B6"")"),5.0)</f>
        <v>5</v>
      </c>
      <c r="J18" s="5">
        <f t="shared" si="3"/>
        <v>0.25</v>
      </c>
      <c r="K18" s="5">
        <f>IFERROR(__xludf.DUMMYFUNCTION("IMPORTRANGE(""https://docs.google.com/spreadsheets/d/1n_jIrSIVmZnDQF_dD_E6XccNsAQllD6sUGziwh8lq54/edit?gid=1842457683#gid=1842457683"", ""Year!C6"")"),4.5)</f>
        <v>4.5</v>
      </c>
    </row>
    <row r="19">
      <c r="B19" s="7" t="s">
        <v>22</v>
      </c>
      <c r="C19" s="9" t="s">
        <v>18</v>
      </c>
      <c r="D19" s="7" t="s">
        <v>23</v>
      </c>
      <c r="E19" s="5" t="str">
        <f t="shared" si="1"/>
        <v>High User Count</v>
      </c>
      <c r="F19" s="5" t="str">
        <f t="shared" si="2"/>
        <v>Very Low Usage</v>
      </c>
      <c r="G19" s="8">
        <v>1.0</v>
      </c>
      <c r="H19" s="5"/>
      <c r="I19" s="5">
        <f>IFERROR(__xludf.DUMMYFUNCTION("IMPORTRANGE(""https://docs.google.com/spreadsheets/d/1n_jIrSIVmZnDQF_dD_E6XccNsAQllD6sUGziwh8lq54/edit?gid=1842457683#gid=1842457683"", ""Year!B7"")"),6.0)</f>
        <v>6</v>
      </c>
      <c r="J19" s="5">
        <f t="shared" si="3"/>
        <v>0.3</v>
      </c>
      <c r="K19" s="5">
        <f>IFERROR(__xludf.DUMMYFUNCTION("IMPORTRANGE(""https://docs.google.com/spreadsheets/d/1n_jIrSIVmZnDQF_dD_E6XccNsAQllD6sUGziwh8lq54/edit?gid=1842457683#gid=1842457683"", ""Year!C7"")"),2.5)</f>
        <v>2.5</v>
      </c>
    </row>
    <row r="20">
      <c r="B20" s="7" t="s">
        <v>24</v>
      </c>
      <c r="C20" s="9" t="s">
        <v>18</v>
      </c>
      <c r="D20" s="7" t="s">
        <v>25</v>
      </c>
      <c r="E20" s="5" t="str">
        <f t="shared" si="1"/>
        <v>Enough User Count</v>
      </c>
      <c r="F20" s="5" t="str">
        <f t="shared" si="2"/>
        <v>Very Low Usage</v>
      </c>
      <c r="G20" s="8">
        <v>1.0</v>
      </c>
      <c r="H20" s="5"/>
      <c r="I20" s="5">
        <f>IFERROR(__xludf.DUMMYFUNCTION("IMPORTRANGE(""https://docs.google.com/spreadsheets/d/1n_jIrSIVmZnDQF_dD_E6XccNsAQllD6sUGziwh8lq54/edit?gid=1842457683#gid=1842457683"", ""Year!B8"")"),7.0)</f>
        <v>7</v>
      </c>
      <c r="J20" s="5">
        <f t="shared" si="3"/>
        <v>0.35</v>
      </c>
      <c r="K20" s="5">
        <f>IFERROR(__xludf.DUMMYFUNCTION("IMPORTRANGE(""https://docs.google.com/spreadsheets/d/1n_jIrSIVmZnDQF_dD_E6XccNsAQllD6sUGziwh8lq54/edit?gid=1842457683#gid=1842457683"", ""Year!C8"")"),0.9)</f>
        <v>0.9</v>
      </c>
    </row>
    <row r="21">
      <c r="B21" s="7" t="s">
        <v>14</v>
      </c>
      <c r="C21" s="9" t="s">
        <v>18</v>
      </c>
      <c r="D21" s="7" t="s">
        <v>26</v>
      </c>
      <c r="E21" s="5" t="str">
        <f t="shared" si="1"/>
        <v>Enough User Count</v>
      </c>
      <c r="F21" s="5" t="str">
        <f t="shared" si="2"/>
        <v>Very Low Usage</v>
      </c>
      <c r="G21" s="8">
        <v>1.0</v>
      </c>
      <c r="H21" s="5"/>
      <c r="I21" s="5">
        <f>IFERROR(__xludf.DUMMYFUNCTION("IMPORTRANGE(""https://docs.google.com/spreadsheets/d/1n_jIrSIVmZnDQF_dD_E6XccNsAQllD6sUGziwh8lq54/edit?gid=1842457683#gid=1842457683"", ""Year!B9"")"),8.0)</f>
        <v>8</v>
      </c>
      <c r="J21" s="5">
        <f t="shared" si="3"/>
        <v>0.4</v>
      </c>
      <c r="K21" s="5">
        <f>IFERROR(__xludf.DUMMYFUNCTION("IMPORTRANGE(""https://docs.google.com/spreadsheets/d/1n_jIrSIVmZnDQF_dD_E6XccNsAQllD6sUGziwh8lq54/edit?gid=1842457683#gid=1842457683"", ""Year!C9"")"),1.0)</f>
        <v>1</v>
      </c>
    </row>
    <row r="22">
      <c r="B22" s="7" t="s">
        <v>17</v>
      </c>
      <c r="C22" s="9" t="s">
        <v>18</v>
      </c>
      <c r="D22" s="7" t="s">
        <v>27</v>
      </c>
      <c r="E22" s="5" t="str">
        <f t="shared" si="1"/>
        <v>High User Count</v>
      </c>
      <c r="F22" s="5" t="str">
        <f t="shared" si="2"/>
        <v>Very Low Usage</v>
      </c>
      <c r="G22" s="8">
        <v>1.0</v>
      </c>
      <c r="H22" s="5"/>
      <c r="I22" s="5">
        <f>IFERROR(__xludf.DUMMYFUNCTION("IMPORTRANGE(""https://docs.google.com/spreadsheets/d/1n_jIrSIVmZnDQF_dD_E6XccNsAQllD6sUGziwh8lq54/edit?gid=1842457683#gid=1842457683"", ""Year!B10"")"),15.5)</f>
        <v>15.5</v>
      </c>
      <c r="J22" s="5">
        <f t="shared" si="3"/>
        <v>0.775</v>
      </c>
      <c r="K22" s="5">
        <f>IFERROR(__xludf.DUMMYFUNCTION("IMPORTRANGE(""https://docs.google.com/spreadsheets/d/1n_jIrSIVmZnDQF_dD_E6XccNsAQllD6sUGziwh8lq54/edit?gid=1842457683#gid=1842457683"", ""Year!C10"")"),1.5)</f>
        <v>1.5</v>
      </c>
    </row>
    <row r="23">
      <c r="B23" s="7" t="s">
        <v>20</v>
      </c>
      <c r="C23" s="9" t="s">
        <v>18</v>
      </c>
      <c r="D23" s="7" t="s">
        <v>28</v>
      </c>
      <c r="E23" s="5" t="str">
        <f t="shared" si="1"/>
        <v>High User Count</v>
      </c>
      <c r="F23" s="5" t="str">
        <f t="shared" si="2"/>
        <v>Low Usage</v>
      </c>
      <c r="G23" s="8">
        <v>1.0</v>
      </c>
      <c r="H23" s="5"/>
      <c r="I23" s="5">
        <f>IFERROR(__xludf.DUMMYFUNCTION("IMPORTRANGE(""https://docs.google.com/spreadsheets/d/1n_jIrSIVmZnDQF_dD_E6XccNsAQllD6sUGziwh8lq54/edit?gid=1842457683#gid=1842457683"", ""Year!B11"")"),20.5)</f>
        <v>20.5</v>
      </c>
      <c r="J23" s="5">
        <f t="shared" si="3"/>
        <v>1.025</v>
      </c>
      <c r="K23" s="5">
        <f>IFERROR(__xludf.DUMMYFUNCTION("IMPORTRANGE(""https://docs.google.com/spreadsheets/d/1n_jIrSIVmZnDQF_dD_E6XccNsAQllD6sUGziwh8lq54/edit?gid=1842457683#gid=1842457683"", ""Year!C11"")"),2.0)</f>
        <v>2</v>
      </c>
    </row>
    <row r="24">
      <c r="B24" s="7" t="s">
        <v>22</v>
      </c>
      <c r="C24" s="7" t="s">
        <v>29</v>
      </c>
      <c r="D24" s="7" t="s">
        <v>30</v>
      </c>
      <c r="E24" s="5" t="str">
        <f t="shared" si="1"/>
        <v>High User Count</v>
      </c>
      <c r="F24" s="5" t="str">
        <f t="shared" si="2"/>
        <v>Low Usage</v>
      </c>
      <c r="G24" s="8">
        <v>4.0</v>
      </c>
      <c r="H24" s="5"/>
      <c r="I24" s="5">
        <f>IFERROR(__xludf.DUMMYFUNCTION("IMPORTRANGE(""https://docs.google.com/spreadsheets/d/1n_jIrSIVmZnDQF_dD_E6XccNsAQllD6sUGziwh8lq54/edit?gid=1842457683#gid=1842457683"", ""Year!B12"")"),25.5)</f>
        <v>25.5</v>
      </c>
      <c r="J24" s="5">
        <f t="shared" si="3"/>
        <v>1.275</v>
      </c>
      <c r="K24" s="5">
        <f>IFERROR(__xludf.DUMMYFUNCTION("IMPORTRANGE(""https://docs.google.com/spreadsheets/d/1n_jIrSIVmZnDQF_dD_E6XccNsAQllD6sUGziwh8lq54/edit?gid=1842457683#gid=1842457683"", ""Year!C12"")"),7.5)</f>
        <v>7.5</v>
      </c>
    </row>
    <row r="25">
      <c r="B25" s="7" t="s">
        <v>24</v>
      </c>
      <c r="C25" s="7" t="s">
        <v>31</v>
      </c>
      <c r="D25" s="7" t="s">
        <v>32</v>
      </c>
      <c r="E25" s="5" t="str">
        <f t="shared" si="1"/>
        <v>High User Count</v>
      </c>
      <c r="F25" s="5" t="str">
        <f t="shared" si="2"/>
        <v>Low Usage</v>
      </c>
      <c r="G25" s="8">
        <v>11.0</v>
      </c>
      <c r="H25" s="5"/>
      <c r="I25" s="5">
        <f>IFERROR(__xludf.DUMMYFUNCTION("IMPORTRANGE(""https://docs.google.com/spreadsheets/d/1n_jIrSIVmZnDQF_dD_E6XccNsAQllD6sUGziwh8lq54/edit?gid=1842457683#gid=1842457683"", ""Year!B13"")"),40.0)</f>
        <v>40</v>
      </c>
      <c r="J25" s="5">
        <f t="shared" si="3"/>
        <v>2</v>
      </c>
      <c r="K25" s="5">
        <f>IFERROR(__xludf.DUMMYFUNCTION("IMPORTRANGE(""https://docs.google.com/spreadsheets/d/1n_jIrSIVmZnDQF_dD_E6XccNsAQllD6sUGziwh8lq54/edit?gid=1842457683#gid=1842457683"", ""Year!C13"")"),13.0)</f>
        <v>13</v>
      </c>
    </row>
    <row r="26">
      <c r="B26" s="7" t="s">
        <v>14</v>
      </c>
      <c r="C26" s="9" t="s">
        <v>18</v>
      </c>
      <c r="D26" s="7" t="s">
        <v>33</v>
      </c>
      <c r="E26" s="5" t="str">
        <f t="shared" si="1"/>
        <v>Enough User Count</v>
      </c>
      <c r="F26" s="5" t="str">
        <f t="shared" si="2"/>
        <v>Low Usage</v>
      </c>
      <c r="G26" s="8">
        <v>8.0</v>
      </c>
      <c r="H26" s="5"/>
      <c r="I26" s="5">
        <f>IFERROR(__xludf.DUMMYFUNCTION("IMPORTRANGE(""https://docs.google.com/spreadsheets/d/1n_jIrSIVmZnDQF_dD_E6XccNsAQllD6sUGziwh8lq54/edit?gid=1842457683#gid=1842457683"", ""Year!B14"")"),35.5)</f>
        <v>35.5</v>
      </c>
      <c r="J26" s="5">
        <f t="shared" si="3"/>
        <v>1.775</v>
      </c>
      <c r="K26" s="5">
        <f>IFERROR(__xludf.DUMMYFUNCTION("IMPORTRANGE(""https://docs.google.com/spreadsheets/d/1n_jIrSIVmZnDQF_dD_E6XccNsAQllD6sUGziwh8lq54/edit?gid=1842457683#gid=1842457683"", ""Year!C14"")"),2.05)</f>
        <v>2.05</v>
      </c>
    </row>
    <row r="27">
      <c r="B27" s="7" t="s">
        <v>17</v>
      </c>
      <c r="C27" s="9" t="s">
        <v>18</v>
      </c>
      <c r="D27" s="7" t="s">
        <v>34</v>
      </c>
      <c r="E27" s="5" t="str">
        <f t="shared" si="1"/>
        <v>Enough User Count</v>
      </c>
      <c r="F27" s="5" t="str">
        <f t="shared" si="2"/>
        <v>Low Usage</v>
      </c>
      <c r="G27" s="8">
        <v>1.0</v>
      </c>
      <c r="H27" s="5"/>
      <c r="I27" s="5">
        <f>IFERROR(__xludf.DUMMYFUNCTION("IMPORTRANGE(""https://docs.google.com/spreadsheets/d/1n_jIrSIVmZnDQF_dD_E6XccNsAQllD6sUGziwh8lq54/edit?gid=1842457683#gid=1842457683"", ""Year!B15"")"),35.5)</f>
        <v>35.5</v>
      </c>
      <c r="J27" s="5">
        <f t="shared" si="3"/>
        <v>1.775</v>
      </c>
      <c r="K27" s="5">
        <f>IFERROR(__xludf.DUMMYFUNCTION("IMPORTRANGE(""https://docs.google.com/spreadsheets/d/1n_jIrSIVmZnDQF_dD_E6XccNsAQllD6sUGziwh8lq54/edit?gid=1842457683#gid=1842457683"", ""Year!C15"")"),1.0)</f>
        <v>1</v>
      </c>
    </row>
    <row r="28">
      <c r="B28" s="7" t="s">
        <v>20</v>
      </c>
      <c r="C28" s="7" t="s">
        <v>35</v>
      </c>
      <c r="D28" s="7" t="s">
        <v>36</v>
      </c>
      <c r="E28" s="5" t="str">
        <f t="shared" si="1"/>
        <v>High User Count</v>
      </c>
      <c r="F28" s="5" t="str">
        <f t="shared" si="2"/>
        <v>Very High Usage</v>
      </c>
      <c r="G28" s="8">
        <v>3.0</v>
      </c>
      <c r="H28" s="5"/>
      <c r="I28" s="5">
        <f>IFERROR(__xludf.DUMMYFUNCTION("IMPORTRANGE(""https://docs.google.com/spreadsheets/d/1n_jIrSIVmZnDQF_dD_E6XccNsAQllD6sUGziwh8lq54/edit?gid=1842457683#gid=1842457683"", ""Year!B16"")"),186.5)</f>
        <v>186.5</v>
      </c>
      <c r="J28" s="5">
        <f t="shared" si="3"/>
        <v>9.325</v>
      </c>
      <c r="K28" s="5">
        <f>IFERROR(__xludf.DUMMYFUNCTION("IMPORTRANGE(""https://docs.google.com/spreadsheets/d/1n_jIrSIVmZnDQF_dD_E6XccNsAQllD6sUGziwh8lq54/edit?gid=1842457683#gid=1842457683"", ""Year!C16"")"),8.5)</f>
        <v>8.5</v>
      </c>
    </row>
    <row r="29">
      <c r="B29" s="7" t="s">
        <v>22</v>
      </c>
      <c r="C29" s="7" t="s">
        <v>37</v>
      </c>
      <c r="D29" s="7" t="s">
        <v>38</v>
      </c>
      <c r="E29" s="5" t="str">
        <f t="shared" si="1"/>
        <v>Enough User Count</v>
      </c>
      <c r="F29" s="5" t="str">
        <f t="shared" si="2"/>
        <v>Low Usage</v>
      </c>
      <c r="G29" s="8">
        <v>4.0</v>
      </c>
      <c r="H29" s="5"/>
      <c r="I29" s="5">
        <f>IFERROR(__xludf.DUMMYFUNCTION("IMPORTRANGE(""https://docs.google.com/spreadsheets/d/1n_jIrSIVmZnDQF_dD_E6XccNsAQllD6sUGziwh8lq54/edit?gid=1842457683#gid=1842457683"", ""Year!B17"")"),37.65)</f>
        <v>37.65</v>
      </c>
      <c r="J29" s="5">
        <f t="shared" si="3"/>
        <v>1.8825</v>
      </c>
      <c r="K29" s="5">
        <f>IFERROR(__xludf.DUMMYFUNCTION("IMPORTRANGE(""https://docs.google.com/spreadsheets/d/1n_jIrSIVmZnDQF_dD_E6XccNsAQllD6sUGziwh8lq54/edit?gid=1842457683#gid=1842457683"", ""Year!C17"")"),1.3)</f>
        <v>1.3</v>
      </c>
    </row>
    <row r="30">
      <c r="B30" s="7" t="s">
        <v>24</v>
      </c>
      <c r="C30" s="9" t="s">
        <v>18</v>
      </c>
      <c r="D30" s="7" t="s">
        <v>16</v>
      </c>
      <c r="E30" s="5" t="str">
        <f t="shared" si="1"/>
        <v>High User Count</v>
      </c>
      <c r="F30" s="5" t="str">
        <f t="shared" si="2"/>
        <v>Low Usage</v>
      </c>
      <c r="G30" s="8">
        <v>10.0</v>
      </c>
      <c r="H30" s="5"/>
      <c r="I30" s="5">
        <f>IFERROR(__xludf.DUMMYFUNCTION("IMPORTRANGE(""https://docs.google.com/spreadsheets/d/1n_jIrSIVmZnDQF_dD_E6XccNsAQllD6sUGziwh8lq54/edit?gid=1842457683#gid=1842457683"", ""Year!B18"")"),52.5)</f>
        <v>52.5</v>
      </c>
      <c r="J30" s="5">
        <f t="shared" si="3"/>
        <v>2.625</v>
      </c>
      <c r="K30" s="5">
        <f>IFERROR(__xludf.DUMMYFUNCTION("IMPORTRANGE(""https://docs.google.com/spreadsheets/d/1n_jIrSIVmZnDQF_dD_E6XccNsAQllD6sUGziwh8lq54/edit?gid=1842457683#gid=1842457683"", ""Year!C18"")"),14.0)</f>
        <v>14</v>
      </c>
    </row>
    <row r="34">
      <c r="B34" s="10" t="s">
        <v>6</v>
      </c>
      <c r="C34" s="10" t="s">
        <v>11</v>
      </c>
      <c r="D34" s="10" t="s">
        <v>12</v>
      </c>
    </row>
    <row r="35">
      <c r="B35" s="11" t="s">
        <v>15</v>
      </c>
      <c r="C35" s="12">
        <f>IFERROR(__xludf.DUMMYFUNCTION("IMPORTRANGE(""https://docs.google.com/spreadsheets/d/1n_jIrSIVmZnDQF_dD_E6XccNsAQllD6sUGziwh8lq54/edit?gid=1842457683#gid=1842457683"", ""Year!B4"")"),0.0)</f>
        <v>0</v>
      </c>
      <c r="D35" s="12">
        <f t="shared" ref="D35:D49" si="4">C35/20</f>
        <v>0</v>
      </c>
    </row>
    <row r="36">
      <c r="B36" s="13" t="s">
        <v>18</v>
      </c>
      <c r="C36" s="12">
        <f>IFERROR(__xludf.DUMMYFUNCTION("IMPORTRANGE(""https://docs.google.com/spreadsheets/d/1n_jIrSIVmZnDQF_dD_E6XccNsAQllD6sUGziwh8lq54/edit?gid=1842457683#gid=1842457683"", ""Year!B5"")"),0.0)</f>
        <v>0</v>
      </c>
      <c r="D36" s="12">
        <f t="shared" si="4"/>
        <v>0</v>
      </c>
    </row>
    <row r="37">
      <c r="B37" s="13" t="s">
        <v>18</v>
      </c>
      <c r="C37" s="12">
        <f>IFERROR(__xludf.DUMMYFUNCTION("IMPORTRANGE(""https://docs.google.com/spreadsheets/d/1n_jIrSIVmZnDQF_dD_E6XccNsAQllD6sUGziwh8lq54/edit?gid=1842457683#gid=1842457683"", ""Year!B6"")"),5.0)</f>
        <v>5</v>
      </c>
      <c r="D37" s="12">
        <f t="shared" si="4"/>
        <v>0.25</v>
      </c>
    </row>
    <row r="38">
      <c r="B38" s="13" t="s">
        <v>18</v>
      </c>
      <c r="C38" s="12">
        <f>IFERROR(__xludf.DUMMYFUNCTION("IMPORTRANGE(""https://docs.google.com/spreadsheets/d/1n_jIrSIVmZnDQF_dD_E6XccNsAQllD6sUGziwh8lq54/edit?gid=1842457683#gid=1842457683"", ""Year!B7"")"),6.0)</f>
        <v>6</v>
      </c>
      <c r="D38" s="12">
        <f t="shared" si="4"/>
        <v>0.3</v>
      </c>
    </row>
    <row r="39">
      <c r="B39" s="13" t="s">
        <v>18</v>
      </c>
      <c r="C39" s="12">
        <f>IFERROR(__xludf.DUMMYFUNCTION("IMPORTRANGE(""https://docs.google.com/spreadsheets/d/1n_jIrSIVmZnDQF_dD_E6XccNsAQllD6sUGziwh8lq54/edit?gid=1842457683#gid=1842457683"", ""Year!B8"")"),7.0)</f>
        <v>7</v>
      </c>
      <c r="D39" s="12">
        <f t="shared" si="4"/>
        <v>0.35</v>
      </c>
    </row>
    <row r="40">
      <c r="B40" s="13" t="s">
        <v>18</v>
      </c>
      <c r="C40" s="12">
        <f>IFERROR(__xludf.DUMMYFUNCTION("IMPORTRANGE(""https://docs.google.com/spreadsheets/d/1n_jIrSIVmZnDQF_dD_E6XccNsAQllD6sUGziwh8lq54/edit?gid=1842457683#gid=1842457683"", ""Year!B9"")"),8.0)</f>
        <v>8</v>
      </c>
      <c r="D40" s="12">
        <f t="shared" si="4"/>
        <v>0.4</v>
      </c>
    </row>
    <row r="41">
      <c r="B41" s="13" t="s">
        <v>18</v>
      </c>
      <c r="C41" s="12">
        <f>IFERROR(__xludf.DUMMYFUNCTION("IMPORTRANGE(""https://docs.google.com/spreadsheets/d/1n_jIrSIVmZnDQF_dD_E6XccNsAQllD6sUGziwh8lq54/edit?gid=1842457683#gid=1842457683"", ""Year!B10"")"),15.5)</f>
        <v>15.5</v>
      </c>
      <c r="D41" s="12">
        <f t="shared" si="4"/>
        <v>0.775</v>
      </c>
    </row>
    <row r="42">
      <c r="B42" s="13" t="s">
        <v>18</v>
      </c>
      <c r="C42" s="12">
        <f>IFERROR(__xludf.DUMMYFUNCTION("IMPORTRANGE(""https://docs.google.com/spreadsheets/d/1n_jIrSIVmZnDQF_dD_E6XccNsAQllD6sUGziwh8lq54/edit?gid=1842457683#gid=1842457683"", ""Year!B11"")"),20.5)</f>
        <v>20.5</v>
      </c>
      <c r="D42" s="12">
        <f t="shared" si="4"/>
        <v>1.025</v>
      </c>
    </row>
    <row r="43">
      <c r="B43" s="11" t="s">
        <v>29</v>
      </c>
      <c r="C43" s="12">
        <f>IFERROR(__xludf.DUMMYFUNCTION("IMPORTRANGE(""https://docs.google.com/spreadsheets/d/1n_jIrSIVmZnDQF_dD_E6XccNsAQllD6sUGziwh8lq54/edit?gid=1842457683#gid=1842457683"", ""Year!B12"")"),25.5)</f>
        <v>25.5</v>
      </c>
      <c r="D43" s="12">
        <f t="shared" si="4"/>
        <v>1.275</v>
      </c>
    </row>
    <row r="44">
      <c r="B44" s="11" t="s">
        <v>31</v>
      </c>
      <c r="C44" s="12">
        <f>IFERROR(__xludf.DUMMYFUNCTION("IMPORTRANGE(""https://docs.google.com/spreadsheets/d/1n_jIrSIVmZnDQF_dD_E6XccNsAQllD6sUGziwh8lq54/edit?gid=1842457683#gid=1842457683"", ""Year!B13"")"),40.0)</f>
        <v>40</v>
      </c>
      <c r="D44" s="12">
        <f t="shared" si="4"/>
        <v>2</v>
      </c>
    </row>
    <row r="45">
      <c r="B45" s="13" t="s">
        <v>18</v>
      </c>
      <c r="C45" s="12">
        <f>IFERROR(__xludf.DUMMYFUNCTION("IMPORTRANGE(""https://docs.google.com/spreadsheets/d/1n_jIrSIVmZnDQF_dD_E6XccNsAQllD6sUGziwh8lq54/edit?gid=1842457683#gid=1842457683"", ""Year!B14"")"),35.5)</f>
        <v>35.5</v>
      </c>
      <c r="D45" s="12">
        <f t="shared" si="4"/>
        <v>1.775</v>
      </c>
    </row>
    <row r="46">
      <c r="B46" s="13" t="s">
        <v>18</v>
      </c>
      <c r="C46" s="12">
        <f>IFERROR(__xludf.DUMMYFUNCTION("IMPORTRANGE(""https://docs.google.com/spreadsheets/d/1n_jIrSIVmZnDQF_dD_E6XccNsAQllD6sUGziwh8lq54/edit?gid=1842457683#gid=1842457683"", ""Year!B15"")"),35.5)</f>
        <v>35.5</v>
      </c>
      <c r="D46" s="12">
        <f t="shared" si="4"/>
        <v>1.775</v>
      </c>
    </row>
    <row r="47">
      <c r="B47" s="11" t="s">
        <v>35</v>
      </c>
      <c r="C47" s="12">
        <f>IFERROR(__xludf.DUMMYFUNCTION("IMPORTRANGE(""https://docs.google.com/spreadsheets/d/1n_jIrSIVmZnDQF_dD_E6XccNsAQllD6sUGziwh8lq54/edit?gid=1842457683#gid=1842457683"", ""Year!B16"")"),186.5)</f>
        <v>186.5</v>
      </c>
      <c r="D47" s="12">
        <f t="shared" si="4"/>
        <v>9.325</v>
      </c>
    </row>
    <row r="48">
      <c r="B48" s="11" t="s">
        <v>37</v>
      </c>
      <c r="C48" s="12">
        <f>IFERROR(__xludf.DUMMYFUNCTION("IMPORTRANGE(""https://docs.google.com/spreadsheets/d/1n_jIrSIVmZnDQF_dD_E6XccNsAQllD6sUGziwh8lq54/edit?gid=1842457683#gid=1842457683"", ""Year!B17"")"),37.65)</f>
        <v>37.65</v>
      </c>
      <c r="D48" s="12">
        <f t="shared" si="4"/>
        <v>1.8825</v>
      </c>
    </row>
    <row r="49">
      <c r="B49" s="13" t="s">
        <v>18</v>
      </c>
      <c r="C49" s="12">
        <f>IFERROR(__xludf.DUMMYFUNCTION("IMPORTRANGE(""https://docs.google.com/spreadsheets/d/1n_jIrSIVmZnDQF_dD_E6XccNsAQllD6sUGziwh8lq54/edit?gid=1842457683#gid=1842457683"", ""Year!B18"")"),52.5)</f>
        <v>52.5</v>
      </c>
      <c r="D49" s="12">
        <f t="shared" si="4"/>
        <v>2.625</v>
      </c>
    </row>
    <row r="50">
      <c r="B50" s="12"/>
      <c r="C50" s="12"/>
      <c r="D50" s="12"/>
    </row>
    <row r="51">
      <c r="B51" s="10" t="s">
        <v>7</v>
      </c>
      <c r="C51" s="10" t="s">
        <v>13</v>
      </c>
      <c r="D51" s="12"/>
    </row>
    <row r="52">
      <c r="B52" s="11" t="s">
        <v>16</v>
      </c>
      <c r="C52" s="12">
        <f>IFERROR(__xludf.DUMMYFUNCTION("IMPORTRANGE(""https://docs.google.com/spreadsheets/d/1n_jIrSIVmZnDQF_dD_E6XccNsAQllD6sUGziwh8lq54/edit?gid=1842457683#gid=1842457683"", ""Year!C4"")"),0.0)</f>
        <v>0</v>
      </c>
      <c r="D52" s="12"/>
    </row>
    <row r="53">
      <c r="B53" s="11" t="s">
        <v>19</v>
      </c>
      <c r="C53" s="12">
        <f>IFERROR(__xludf.DUMMYFUNCTION("IMPORTRANGE(""https://docs.google.com/spreadsheets/d/1n_jIrSIVmZnDQF_dD_E6XccNsAQllD6sUGziwh8lq54/edit?gid=1842457683#gid=1842457683"", ""Year!C5"")"),0.0)</f>
        <v>0</v>
      </c>
      <c r="D53" s="12"/>
    </row>
    <row r="54">
      <c r="B54" s="11" t="s">
        <v>21</v>
      </c>
      <c r="C54" s="12">
        <f>IFERROR(__xludf.DUMMYFUNCTION("IMPORTRANGE(""https://docs.google.com/spreadsheets/d/1n_jIrSIVmZnDQF_dD_E6XccNsAQllD6sUGziwh8lq54/edit?gid=1842457683#gid=1842457683"", ""Year!C6"")"),4.5)</f>
        <v>4.5</v>
      </c>
      <c r="D54" s="12"/>
    </row>
    <row r="55">
      <c r="B55" s="11" t="s">
        <v>23</v>
      </c>
      <c r="C55" s="12">
        <f>IFERROR(__xludf.DUMMYFUNCTION("IMPORTRANGE(""https://docs.google.com/spreadsheets/d/1n_jIrSIVmZnDQF_dD_E6XccNsAQllD6sUGziwh8lq54/edit?gid=1842457683#gid=1842457683"", ""Year!C7"")"),2.5)</f>
        <v>2.5</v>
      </c>
      <c r="D55" s="12"/>
    </row>
    <row r="56">
      <c r="B56" s="11" t="s">
        <v>25</v>
      </c>
      <c r="C56" s="12">
        <f>IFERROR(__xludf.DUMMYFUNCTION("IMPORTRANGE(""https://docs.google.com/spreadsheets/d/1n_jIrSIVmZnDQF_dD_E6XccNsAQllD6sUGziwh8lq54/edit?gid=1842457683#gid=1842457683"", ""Year!C8"")"),0.9)</f>
        <v>0.9</v>
      </c>
      <c r="D56" s="12"/>
    </row>
    <row r="57">
      <c r="B57" s="11" t="s">
        <v>26</v>
      </c>
      <c r="C57" s="12">
        <f>IFERROR(__xludf.DUMMYFUNCTION("IMPORTRANGE(""https://docs.google.com/spreadsheets/d/1n_jIrSIVmZnDQF_dD_E6XccNsAQllD6sUGziwh8lq54/edit?gid=1842457683#gid=1842457683"", ""Year!C9"")"),1.0)</f>
        <v>1</v>
      </c>
      <c r="D57" s="12"/>
    </row>
    <row r="58">
      <c r="B58" s="11" t="s">
        <v>27</v>
      </c>
      <c r="C58" s="12">
        <f>IFERROR(__xludf.DUMMYFUNCTION("IMPORTRANGE(""https://docs.google.com/spreadsheets/d/1n_jIrSIVmZnDQF_dD_E6XccNsAQllD6sUGziwh8lq54/edit?gid=1842457683#gid=1842457683"", ""Year!C10"")"),1.5)</f>
        <v>1.5</v>
      </c>
      <c r="D58" s="12"/>
    </row>
    <row r="59">
      <c r="B59" s="11" t="s">
        <v>28</v>
      </c>
      <c r="C59" s="12">
        <f>IFERROR(__xludf.DUMMYFUNCTION("IMPORTRANGE(""https://docs.google.com/spreadsheets/d/1n_jIrSIVmZnDQF_dD_E6XccNsAQllD6sUGziwh8lq54/edit?gid=1842457683#gid=1842457683"", ""Year!C11"")"),2.0)</f>
        <v>2</v>
      </c>
      <c r="D59" s="12"/>
    </row>
    <row r="60">
      <c r="B60" s="11" t="s">
        <v>30</v>
      </c>
      <c r="C60" s="12">
        <f>IFERROR(__xludf.DUMMYFUNCTION("IMPORTRANGE(""https://docs.google.com/spreadsheets/d/1n_jIrSIVmZnDQF_dD_E6XccNsAQllD6sUGziwh8lq54/edit?gid=1842457683#gid=1842457683"", ""Year!C12"")"),7.5)</f>
        <v>7.5</v>
      </c>
      <c r="D60" s="12"/>
    </row>
    <row r="61">
      <c r="B61" s="11" t="s">
        <v>32</v>
      </c>
      <c r="C61" s="12">
        <f>IFERROR(__xludf.DUMMYFUNCTION("IMPORTRANGE(""https://docs.google.com/spreadsheets/d/1n_jIrSIVmZnDQF_dD_E6XccNsAQllD6sUGziwh8lq54/edit?gid=1842457683#gid=1842457683"", ""Year!C13"")"),13.0)</f>
        <v>13</v>
      </c>
      <c r="D61" s="12"/>
    </row>
    <row r="62">
      <c r="B62" s="11" t="s">
        <v>33</v>
      </c>
      <c r="C62" s="12">
        <f>IFERROR(__xludf.DUMMYFUNCTION("IMPORTRANGE(""https://docs.google.com/spreadsheets/d/1n_jIrSIVmZnDQF_dD_E6XccNsAQllD6sUGziwh8lq54/edit?gid=1842457683#gid=1842457683"", ""Year!C14"")"),2.05)</f>
        <v>2.05</v>
      </c>
      <c r="D62" s="12"/>
    </row>
    <row r="63">
      <c r="B63" s="11" t="s">
        <v>34</v>
      </c>
      <c r="C63" s="12">
        <f>IFERROR(__xludf.DUMMYFUNCTION("IMPORTRANGE(""https://docs.google.com/spreadsheets/d/1n_jIrSIVmZnDQF_dD_E6XccNsAQllD6sUGziwh8lq54/edit?gid=1842457683#gid=1842457683"", ""Year!C15"")"),1.0)</f>
        <v>1</v>
      </c>
      <c r="D63" s="12"/>
    </row>
    <row r="64">
      <c r="B64" s="11" t="s">
        <v>36</v>
      </c>
      <c r="C64" s="12">
        <f>IFERROR(__xludf.DUMMYFUNCTION("IMPORTRANGE(""https://docs.google.com/spreadsheets/d/1n_jIrSIVmZnDQF_dD_E6XccNsAQllD6sUGziwh8lq54/edit?gid=1842457683#gid=1842457683"", ""Year!C16"")"),8.5)</f>
        <v>8.5</v>
      </c>
      <c r="D64" s="12"/>
    </row>
    <row r="65">
      <c r="B65" s="11" t="s">
        <v>38</v>
      </c>
      <c r="C65" s="12">
        <f>IFERROR(__xludf.DUMMYFUNCTION("IMPORTRANGE(""https://docs.google.com/spreadsheets/d/1n_jIrSIVmZnDQF_dD_E6XccNsAQllD6sUGziwh8lq54/edit?gid=1842457683#gid=1842457683"", ""Year!C17"")"),1.3)</f>
        <v>1.3</v>
      </c>
      <c r="D65" s="12"/>
    </row>
    <row r="66">
      <c r="B66" s="11" t="s">
        <v>16</v>
      </c>
      <c r="C66" s="12">
        <f>IFERROR(__xludf.DUMMYFUNCTION("IMPORTRANGE(""https://docs.google.com/spreadsheets/d/1n_jIrSIVmZnDQF_dD_E6XccNsAQllD6sUGziwh8lq54/edit?gid=1842457683#gid=1842457683"", ""Year!C18"")"),14.0)</f>
        <v>14</v>
      </c>
      <c r="D66" s="12"/>
    </row>
  </sheetData>
  <mergeCells count="7">
    <mergeCell ref="B4:E4"/>
    <mergeCell ref="G4:M4"/>
    <mergeCell ref="B7:D7"/>
    <mergeCell ref="B8:C8"/>
    <mergeCell ref="B9:C9"/>
    <mergeCell ref="B10:C10"/>
    <mergeCell ref="B11:C1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6.25"/>
  </cols>
  <sheetData>
    <row r="2">
      <c r="B2" s="14"/>
      <c r="C2" s="14"/>
      <c r="D2" s="14">
        <v>2026.0</v>
      </c>
      <c r="F2" s="14">
        <v>2027.0</v>
      </c>
    </row>
    <row r="3">
      <c r="B3" s="6" t="s">
        <v>39</v>
      </c>
      <c r="C3" s="6" t="s">
        <v>13</v>
      </c>
      <c r="D3" s="6" t="s">
        <v>40</v>
      </c>
      <c r="E3" s="6" t="s">
        <v>41</v>
      </c>
      <c r="F3" s="6" t="s">
        <v>40</v>
      </c>
      <c r="G3" s="6" t="s">
        <v>41</v>
      </c>
      <c r="H3" s="6"/>
      <c r="I3" s="6"/>
      <c r="J3" s="6"/>
      <c r="K3" s="6"/>
      <c r="L3" s="6"/>
      <c r="M3" s="6"/>
      <c r="N3" s="6"/>
    </row>
    <row r="4">
      <c r="B4" s="15">
        <f t="shared" ref="B4:B18" si="1">AVERAGE(D4,G4)</f>
        <v>0</v>
      </c>
      <c r="C4" s="15">
        <f t="shared" ref="C4:C18" si="2">AVERAGE(E4,G4)</f>
        <v>0</v>
      </c>
      <c r="D4" s="15">
        <v>0.0</v>
      </c>
      <c r="E4" s="15">
        <v>0.0</v>
      </c>
      <c r="F4" s="16">
        <v>0.0</v>
      </c>
      <c r="G4" s="16">
        <v>0.0</v>
      </c>
      <c r="M4" s="17"/>
    </row>
    <row r="5">
      <c r="B5" s="15">
        <f t="shared" si="1"/>
        <v>0</v>
      </c>
      <c r="C5" s="15">
        <f t="shared" si="2"/>
        <v>0</v>
      </c>
      <c r="D5" s="15">
        <v>0.0</v>
      </c>
      <c r="E5" s="15">
        <v>0.0</v>
      </c>
      <c r="F5" s="16">
        <v>0.0</v>
      </c>
      <c r="G5" s="16">
        <v>0.0</v>
      </c>
      <c r="M5" s="17"/>
    </row>
    <row r="6">
      <c r="B6" s="15">
        <f t="shared" si="1"/>
        <v>5</v>
      </c>
      <c r="C6" s="15">
        <f t="shared" si="2"/>
        <v>4.5</v>
      </c>
      <c r="D6" s="15">
        <v>5.0</v>
      </c>
      <c r="E6" s="15">
        <v>4.0</v>
      </c>
      <c r="F6" s="15">
        <v>28.0</v>
      </c>
      <c r="G6" s="15">
        <v>5.0</v>
      </c>
      <c r="M6" s="17"/>
    </row>
    <row r="7">
      <c r="B7" s="15">
        <f t="shared" si="1"/>
        <v>6</v>
      </c>
      <c r="C7" s="15">
        <f t="shared" si="2"/>
        <v>2.5</v>
      </c>
      <c r="D7" s="15">
        <v>9.0</v>
      </c>
      <c r="E7" s="15">
        <v>2.0</v>
      </c>
      <c r="F7" s="15">
        <v>10.0</v>
      </c>
      <c r="G7" s="15">
        <v>3.0</v>
      </c>
      <c r="M7" s="17"/>
    </row>
    <row r="8">
      <c r="B8" s="15">
        <f t="shared" si="1"/>
        <v>7</v>
      </c>
      <c r="C8" s="15">
        <f t="shared" si="2"/>
        <v>0.9</v>
      </c>
      <c r="D8" s="15">
        <v>13.0</v>
      </c>
      <c r="E8" s="15">
        <v>0.8</v>
      </c>
      <c r="F8" s="15">
        <v>16.0</v>
      </c>
      <c r="G8" s="15">
        <v>1.0</v>
      </c>
      <c r="M8" s="17"/>
    </row>
    <row r="9">
      <c r="B9" s="15">
        <f t="shared" si="1"/>
        <v>8</v>
      </c>
      <c r="C9" s="15">
        <f t="shared" si="2"/>
        <v>1</v>
      </c>
      <c r="D9" s="15">
        <v>15.0</v>
      </c>
      <c r="E9" s="15">
        <v>1.0</v>
      </c>
      <c r="F9" s="15">
        <v>3.0</v>
      </c>
      <c r="G9" s="15">
        <v>1.0</v>
      </c>
      <c r="M9" s="17"/>
    </row>
    <row r="10">
      <c r="B10" s="15">
        <f t="shared" si="1"/>
        <v>15.5</v>
      </c>
      <c r="C10" s="15">
        <f t="shared" si="2"/>
        <v>1.5</v>
      </c>
      <c r="D10" s="15">
        <v>30.0</v>
      </c>
      <c r="E10" s="15">
        <v>2.0</v>
      </c>
      <c r="F10" s="15">
        <v>88.0</v>
      </c>
      <c r="G10" s="15">
        <v>1.0</v>
      </c>
      <c r="M10" s="17"/>
    </row>
    <row r="11">
      <c r="B11" s="15">
        <f t="shared" si="1"/>
        <v>20.5</v>
      </c>
      <c r="C11" s="15">
        <f t="shared" si="2"/>
        <v>2</v>
      </c>
      <c r="D11" s="15">
        <v>39.0</v>
      </c>
      <c r="E11" s="15">
        <v>2.0</v>
      </c>
      <c r="F11" s="15">
        <v>22.0</v>
      </c>
      <c r="G11" s="15">
        <v>2.0</v>
      </c>
      <c r="M11" s="17"/>
    </row>
    <row r="12">
      <c r="B12" s="15">
        <f t="shared" si="1"/>
        <v>25.5</v>
      </c>
      <c r="C12" s="15">
        <f t="shared" si="2"/>
        <v>7.5</v>
      </c>
      <c r="D12" s="15">
        <v>44.0</v>
      </c>
      <c r="E12" s="15">
        <v>8.0</v>
      </c>
      <c r="F12" s="15">
        <v>9.0</v>
      </c>
      <c r="G12" s="15">
        <v>7.0</v>
      </c>
      <c r="M12" s="17"/>
    </row>
    <row r="13">
      <c r="B13" s="15">
        <f t="shared" si="1"/>
        <v>40</v>
      </c>
      <c r="C13" s="15">
        <f t="shared" si="2"/>
        <v>13</v>
      </c>
      <c r="D13" s="15">
        <v>67.0</v>
      </c>
      <c r="E13" s="15">
        <v>13.0</v>
      </c>
      <c r="F13" s="15">
        <v>63.0</v>
      </c>
      <c r="G13" s="15">
        <v>13.0</v>
      </c>
      <c r="M13" s="17"/>
    </row>
    <row r="14">
      <c r="B14" s="15">
        <f t="shared" si="1"/>
        <v>35.5</v>
      </c>
      <c r="C14" s="15">
        <f t="shared" si="2"/>
        <v>2.05</v>
      </c>
      <c r="D14" s="15">
        <v>69.0</v>
      </c>
      <c r="E14" s="15">
        <v>2.1</v>
      </c>
      <c r="F14" s="15">
        <v>60.0</v>
      </c>
      <c r="G14" s="15">
        <v>2.0</v>
      </c>
      <c r="M14" s="17"/>
    </row>
    <row r="15">
      <c r="B15" s="15">
        <f t="shared" si="1"/>
        <v>35.5</v>
      </c>
      <c r="C15" s="15">
        <f t="shared" si="2"/>
        <v>1</v>
      </c>
      <c r="D15" s="15">
        <v>70.0</v>
      </c>
      <c r="E15" s="15">
        <v>1.0</v>
      </c>
      <c r="F15" s="15">
        <v>104.0</v>
      </c>
      <c r="G15" s="15">
        <v>1.0</v>
      </c>
      <c r="M15" s="17"/>
    </row>
    <row r="16">
      <c r="B16" s="15">
        <f t="shared" si="1"/>
        <v>186.5</v>
      </c>
      <c r="C16" s="15">
        <f t="shared" si="2"/>
        <v>8.5</v>
      </c>
      <c r="D16" s="15">
        <v>363.0</v>
      </c>
      <c r="E16" s="15">
        <v>7.0</v>
      </c>
      <c r="F16" s="15">
        <v>314.0</v>
      </c>
      <c r="G16" s="15">
        <v>10.0</v>
      </c>
      <c r="M16" s="17"/>
    </row>
    <row r="17">
      <c r="B17" s="15">
        <f t="shared" si="1"/>
        <v>37.65</v>
      </c>
      <c r="C17" s="15">
        <f t="shared" si="2"/>
        <v>1.3</v>
      </c>
      <c r="D17" s="15">
        <v>74.0</v>
      </c>
      <c r="E17" s="15">
        <v>1.3</v>
      </c>
      <c r="F17" s="15">
        <v>64.0</v>
      </c>
      <c r="G17" s="15">
        <v>1.3</v>
      </c>
      <c r="M17" s="17"/>
    </row>
    <row r="18">
      <c r="B18" s="15">
        <f t="shared" si="1"/>
        <v>52.5</v>
      </c>
      <c r="C18" s="15">
        <f t="shared" si="2"/>
        <v>14</v>
      </c>
      <c r="D18" s="15">
        <v>91.0</v>
      </c>
      <c r="E18" s="15">
        <v>14.0</v>
      </c>
      <c r="F18" s="15">
        <v>73.0</v>
      </c>
      <c r="G18" s="15">
        <v>14.0</v>
      </c>
      <c r="M18" s="17"/>
    </row>
  </sheetData>
  <mergeCells count="2">
    <mergeCell ref="D2:E2"/>
    <mergeCell ref="F2:G2"/>
  </mergeCells>
  <drawing r:id="rId1"/>
</worksheet>
</file>